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Directory" sheetId="1" state="visible" r:id="rId1"/>
    <sheet xmlns:r="http://schemas.openxmlformats.org/officeDocument/2006/relationships" name="LOOKUP Formulas" sheetId="2" state="visible" r:id="rId2"/>
    <sheet xmlns:r="http://schemas.openxmlformats.org/officeDocument/2006/relationships" name="INDEX MATCH" sheetId="3" state="visible" r:id="rId3"/>
    <sheet xmlns:r="http://schemas.openxmlformats.org/officeDocument/2006/relationships" name="SUMI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1F3864"/>
      <sz val="11"/>
    </font>
    <font>
      <name val="Arial"/>
      <b val="1"/>
      <color rgb="000000FF"/>
      <sz val="12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4" customWidth="1" min="4" max="4"/>
    <col width="12" customWidth="1" min="5" max="5"/>
  </cols>
  <sheetData>
    <row r="1" ht="28" customHeight="1">
      <c r="A1" s="1" t="inlineStr">
        <is>
          <t>Store Directory — Lookup Reference Table</t>
        </is>
      </c>
    </row>
    <row r="2" ht="28" customHeight="1">
      <c r="A2" s="2" t="inlineStr">
        <is>
          <t>Store ID</t>
        </is>
      </c>
      <c r="B2" s="2" t="inlineStr">
        <is>
          <t>Total Sales ($)</t>
        </is>
      </c>
      <c r="C2" s="2" t="inlineStr">
        <is>
          <t>Avg Weekly Sales ($)</t>
        </is>
      </c>
      <c r="D2" s="2" t="inlineStr">
        <is>
          <t>Total Weeks</t>
        </is>
      </c>
      <c r="E2" s="2" t="inlineStr">
        <is>
          <t>Sales Rank</t>
        </is>
      </c>
    </row>
    <row r="3">
      <c r="A3" s="3" t="n">
        <v>1</v>
      </c>
      <c r="B3" s="4" t="n">
        <v>222402808.85</v>
      </c>
      <c r="C3" s="4" t="n">
        <v>1555264.397552448</v>
      </c>
      <c r="D3" s="5" t="n">
        <v>143</v>
      </c>
      <c r="E3" s="5" t="n">
        <v>9</v>
      </c>
    </row>
    <row r="4">
      <c r="A4" s="6" t="n">
        <v>2</v>
      </c>
      <c r="B4" s="7" t="n">
        <v>275382440.98</v>
      </c>
      <c r="C4" s="7" t="n">
        <v>1925751.335524476</v>
      </c>
      <c r="D4" s="8" t="n">
        <v>143</v>
      </c>
      <c r="E4" s="8" t="n">
        <v>5</v>
      </c>
    </row>
    <row r="5">
      <c r="A5" s="3" t="n">
        <v>3</v>
      </c>
      <c r="B5" s="4" t="n">
        <v>57586735.07</v>
      </c>
      <c r="C5" s="4" t="n">
        <v>402704.4410489511</v>
      </c>
      <c r="D5" s="5" t="n">
        <v>143</v>
      </c>
      <c r="E5" s="5" t="n">
        <v>40</v>
      </c>
    </row>
    <row r="6">
      <c r="A6" s="6" t="n">
        <v>4</v>
      </c>
      <c r="B6" s="7" t="n">
        <v>299543953.38</v>
      </c>
      <c r="C6" s="7" t="n">
        <v>2094712.960699301</v>
      </c>
      <c r="D6" s="8" t="n">
        <v>143</v>
      </c>
      <c r="E6" s="8" t="n">
        <v>2</v>
      </c>
    </row>
    <row r="7">
      <c r="A7" s="3" t="n">
        <v>5</v>
      </c>
      <c r="B7" s="4" t="n">
        <v>45475688.9</v>
      </c>
      <c r="C7" s="4" t="n">
        <v>318011.8104895105</v>
      </c>
      <c r="D7" s="5" t="n">
        <v>143</v>
      </c>
      <c r="E7" s="5" t="n">
        <v>43</v>
      </c>
    </row>
    <row r="8">
      <c r="A8" s="6" t="n">
        <v>6</v>
      </c>
      <c r="B8" s="7" t="n">
        <v>223756130.64</v>
      </c>
      <c r="C8" s="7" t="n">
        <v>1564728.186293706</v>
      </c>
      <c r="D8" s="8" t="n">
        <v>143</v>
      </c>
      <c r="E8" s="8" t="n">
        <v>8</v>
      </c>
    </row>
    <row r="9">
      <c r="A9" s="3" t="n">
        <v>7</v>
      </c>
      <c r="B9" s="4" t="n">
        <v>81598275.14</v>
      </c>
      <c r="C9" s="4" t="n">
        <v>570617.3086713287</v>
      </c>
      <c r="D9" s="5" t="n">
        <v>143</v>
      </c>
      <c r="E9" s="5" t="n">
        <v>33</v>
      </c>
    </row>
    <row r="10">
      <c r="A10" s="6" t="n">
        <v>8</v>
      </c>
      <c r="B10" s="7" t="n">
        <v>129951181.13</v>
      </c>
      <c r="C10" s="7" t="n">
        <v>908749.5183916084</v>
      </c>
      <c r="D10" s="8" t="n">
        <v>143</v>
      </c>
      <c r="E10" s="8" t="n">
        <v>26</v>
      </c>
    </row>
    <row r="11">
      <c r="A11" s="3" t="n">
        <v>9</v>
      </c>
      <c r="B11" s="4" t="n">
        <v>77789218.98999999</v>
      </c>
      <c r="C11" s="4" t="n">
        <v>543980.5523776223</v>
      </c>
      <c r="D11" s="5" t="n">
        <v>143</v>
      </c>
      <c r="E11" s="5" t="n">
        <v>35</v>
      </c>
    </row>
    <row r="12">
      <c r="A12" s="6" t="n">
        <v>10</v>
      </c>
      <c r="B12" s="7" t="n">
        <v>271617713.89</v>
      </c>
      <c r="C12" s="7" t="n">
        <v>1899424.572657343</v>
      </c>
      <c r="D12" s="8" t="n">
        <v>143</v>
      </c>
      <c r="E12" s="8" t="n">
        <v>6</v>
      </c>
    </row>
    <row r="13">
      <c r="A13" s="3" t="n">
        <v>11</v>
      </c>
      <c r="B13" s="4" t="n">
        <v>193962786.8</v>
      </c>
      <c r="C13" s="4" t="n">
        <v>1356383.124475525</v>
      </c>
      <c r="D13" s="5" t="n">
        <v>143</v>
      </c>
      <c r="E13" s="5" t="n">
        <v>15</v>
      </c>
    </row>
    <row r="14">
      <c r="A14" s="6" t="n">
        <v>12</v>
      </c>
      <c r="B14" s="7" t="n">
        <v>144287230.15</v>
      </c>
      <c r="C14" s="7" t="n">
        <v>1009001.60944056</v>
      </c>
      <c r="D14" s="8" t="n">
        <v>143</v>
      </c>
      <c r="E14" s="8" t="n">
        <v>21</v>
      </c>
    </row>
    <row r="15">
      <c r="A15" s="3" t="n">
        <v>13</v>
      </c>
      <c r="B15" s="4" t="n">
        <v>286517703.8</v>
      </c>
      <c r="C15" s="4" t="n">
        <v>2003620.306293706</v>
      </c>
      <c r="D15" s="5" t="n">
        <v>143</v>
      </c>
      <c r="E15" s="5" t="n">
        <v>4</v>
      </c>
    </row>
    <row r="16">
      <c r="A16" s="6" t="n">
        <v>14</v>
      </c>
      <c r="B16" s="7" t="n">
        <v>288999911.34</v>
      </c>
      <c r="C16" s="7" t="n">
        <v>2020978.400979021</v>
      </c>
      <c r="D16" s="8" t="n">
        <v>143</v>
      </c>
      <c r="E16" s="8" t="n">
        <v>3</v>
      </c>
    </row>
    <row r="17">
      <c r="A17" s="3" t="n">
        <v>15</v>
      </c>
      <c r="B17" s="4" t="n">
        <v>89133683.92</v>
      </c>
      <c r="C17" s="4" t="n">
        <v>623312.474965035</v>
      </c>
      <c r="D17" s="5" t="n">
        <v>143</v>
      </c>
      <c r="E17" s="5" t="n">
        <v>32</v>
      </c>
    </row>
    <row r="18">
      <c r="A18" s="6" t="n">
        <v>16</v>
      </c>
      <c r="B18" s="7" t="n">
        <v>74252425.40000001</v>
      </c>
      <c r="C18" s="7" t="n">
        <v>519247.7300699301</v>
      </c>
      <c r="D18" s="8" t="n">
        <v>143</v>
      </c>
      <c r="E18" s="8" t="n">
        <v>37</v>
      </c>
    </row>
    <row r="19">
      <c r="A19" s="3" t="n">
        <v>17</v>
      </c>
      <c r="B19" s="4" t="n">
        <v>127782138.83</v>
      </c>
      <c r="C19" s="4" t="n">
        <v>893581.3904195804</v>
      </c>
      <c r="D19" s="5" t="n">
        <v>143</v>
      </c>
      <c r="E19" s="5" t="n">
        <v>27</v>
      </c>
    </row>
    <row r="20">
      <c r="A20" s="6" t="n">
        <v>18</v>
      </c>
      <c r="B20" s="7" t="n">
        <v>155114734.21</v>
      </c>
      <c r="C20" s="7" t="n">
        <v>1084718.421048951</v>
      </c>
      <c r="D20" s="8" t="n">
        <v>143</v>
      </c>
      <c r="E20" s="8" t="n">
        <v>19</v>
      </c>
    </row>
    <row r="21">
      <c r="A21" s="3" t="n">
        <v>19</v>
      </c>
      <c r="B21" s="4" t="n">
        <v>206634862.1</v>
      </c>
      <c r="C21" s="4" t="n">
        <v>1444999.035664336</v>
      </c>
      <c r="D21" s="5" t="n">
        <v>143</v>
      </c>
      <c r="E21" s="5" t="n">
        <v>11</v>
      </c>
    </row>
    <row r="22">
      <c r="A22" s="6" t="n">
        <v>20</v>
      </c>
      <c r="B22" s="7" t="n">
        <v>301397792.46</v>
      </c>
      <c r="C22" s="7" t="n">
        <v>2107676.87034965</v>
      </c>
      <c r="D22" s="8" t="n">
        <v>143</v>
      </c>
      <c r="E22" s="8" t="n">
        <v>1</v>
      </c>
    </row>
    <row r="23">
      <c r="A23" s="3" t="n">
        <v>21</v>
      </c>
      <c r="B23" s="4" t="n">
        <v>108117878.92</v>
      </c>
      <c r="C23" s="4" t="n">
        <v>756069.0833566433</v>
      </c>
      <c r="D23" s="5" t="n">
        <v>143</v>
      </c>
      <c r="E23" s="5" t="n">
        <v>29</v>
      </c>
    </row>
    <row r="24">
      <c r="A24" s="6" t="n">
        <v>22</v>
      </c>
      <c r="B24" s="7" t="n">
        <v>147075648.57</v>
      </c>
      <c r="C24" s="7" t="n">
        <v>1028501.038951049</v>
      </c>
      <c r="D24" s="8" t="n">
        <v>143</v>
      </c>
      <c r="E24" s="8" t="n">
        <v>20</v>
      </c>
    </row>
    <row r="25">
      <c r="A25" s="3" t="n">
        <v>23</v>
      </c>
      <c r="B25" s="4" t="n">
        <v>198750617.85</v>
      </c>
      <c r="C25" s="4" t="n">
        <v>1389864.460489511</v>
      </c>
      <c r="D25" s="5" t="n">
        <v>143</v>
      </c>
      <c r="E25" s="5" t="n">
        <v>13</v>
      </c>
    </row>
    <row r="26">
      <c r="A26" s="6" t="n">
        <v>24</v>
      </c>
      <c r="B26" s="7" t="n">
        <v>194016021.28</v>
      </c>
      <c r="C26" s="7" t="n">
        <v>1356755.393566434</v>
      </c>
      <c r="D26" s="8" t="n">
        <v>143</v>
      </c>
      <c r="E26" s="8" t="n">
        <v>14</v>
      </c>
    </row>
    <row r="27">
      <c r="A27" s="3" t="n">
        <v>25</v>
      </c>
      <c r="B27" s="4" t="n">
        <v>101061179.17</v>
      </c>
      <c r="C27" s="4" t="n">
        <v>706721.5326573426</v>
      </c>
      <c r="D27" s="5" t="n">
        <v>143</v>
      </c>
      <c r="E27" s="5" t="n">
        <v>30</v>
      </c>
    </row>
    <row r="28">
      <c r="A28" s="6" t="n">
        <v>26</v>
      </c>
      <c r="B28" s="7" t="n">
        <v>143416393.79</v>
      </c>
      <c r="C28" s="7" t="n">
        <v>1002911.844685315</v>
      </c>
      <c r="D28" s="8" t="n">
        <v>143</v>
      </c>
      <c r="E28" s="8" t="n">
        <v>22</v>
      </c>
    </row>
    <row r="29">
      <c r="A29" s="3" t="n">
        <v>27</v>
      </c>
      <c r="B29" s="4" t="n">
        <v>253855916.88</v>
      </c>
      <c r="C29" s="4" t="n">
        <v>1775216.201958042</v>
      </c>
      <c r="D29" s="5" t="n">
        <v>143</v>
      </c>
      <c r="E29" s="5" t="n">
        <v>7</v>
      </c>
    </row>
    <row r="30">
      <c r="A30" s="6" t="n">
        <v>28</v>
      </c>
      <c r="B30" s="7" t="n">
        <v>189263680.58</v>
      </c>
      <c r="C30" s="7" t="n">
        <v>1323522.241818182</v>
      </c>
      <c r="D30" s="8" t="n">
        <v>143</v>
      </c>
      <c r="E30" s="8" t="n">
        <v>16</v>
      </c>
    </row>
    <row r="31">
      <c r="A31" s="3" t="n">
        <v>29</v>
      </c>
      <c r="B31" s="4" t="n">
        <v>77141554.31</v>
      </c>
      <c r="C31" s="4" t="n">
        <v>539451.4287412588</v>
      </c>
      <c r="D31" s="5" t="n">
        <v>143</v>
      </c>
      <c r="E31" s="5" t="n">
        <v>36</v>
      </c>
    </row>
    <row r="32">
      <c r="A32" s="6" t="n">
        <v>30</v>
      </c>
      <c r="B32" s="7" t="n">
        <v>62716885.12</v>
      </c>
      <c r="C32" s="7" t="n">
        <v>438579.6162237762</v>
      </c>
      <c r="D32" s="8" t="n">
        <v>143</v>
      </c>
      <c r="E32" s="8" t="n">
        <v>39</v>
      </c>
    </row>
    <row r="33">
      <c r="A33" s="3" t="n">
        <v>31</v>
      </c>
      <c r="B33" s="4" t="n">
        <v>199613905.5</v>
      </c>
      <c r="C33" s="4" t="n">
        <v>1395901.437062937</v>
      </c>
      <c r="D33" s="5" t="n">
        <v>143</v>
      </c>
      <c r="E33" s="5" t="n">
        <v>12</v>
      </c>
    </row>
    <row r="34">
      <c r="A34" s="6" t="n">
        <v>32</v>
      </c>
      <c r="B34" s="7" t="n">
        <v>166819246.16</v>
      </c>
      <c r="C34" s="7" t="n">
        <v>1166568.154965035</v>
      </c>
      <c r="D34" s="8" t="n">
        <v>143</v>
      </c>
      <c r="E34" s="8" t="n">
        <v>18</v>
      </c>
    </row>
    <row r="35">
      <c r="A35" s="3" t="n">
        <v>33</v>
      </c>
      <c r="B35" s="4" t="n">
        <v>37160221.96</v>
      </c>
      <c r="C35" s="4" t="n">
        <v>259861.692027972</v>
      </c>
      <c r="D35" s="5" t="n">
        <v>143</v>
      </c>
      <c r="E35" s="5" t="n">
        <v>45</v>
      </c>
    </row>
    <row r="36">
      <c r="A36" s="6" t="n">
        <v>34</v>
      </c>
      <c r="B36" s="7" t="n">
        <v>138249763</v>
      </c>
      <c r="C36" s="7" t="n">
        <v>966781.5594405595</v>
      </c>
      <c r="D36" s="8" t="n">
        <v>143</v>
      </c>
      <c r="E36" s="8" t="n">
        <v>23</v>
      </c>
    </row>
    <row r="37">
      <c r="A37" s="3" t="n">
        <v>35</v>
      </c>
      <c r="B37" s="4" t="n">
        <v>131520672.08</v>
      </c>
      <c r="C37" s="4" t="n">
        <v>919724.9795804196</v>
      </c>
      <c r="D37" s="5" t="n">
        <v>143</v>
      </c>
      <c r="E37" s="5" t="n">
        <v>25</v>
      </c>
    </row>
    <row r="38">
      <c r="A38" s="6" t="n">
        <v>36</v>
      </c>
      <c r="B38" s="7" t="n">
        <v>53412214.97</v>
      </c>
      <c r="C38" s="7" t="n">
        <v>373511.9927972028</v>
      </c>
      <c r="D38" s="8" t="n">
        <v>143</v>
      </c>
      <c r="E38" s="8" t="n">
        <v>42</v>
      </c>
    </row>
    <row r="39">
      <c r="A39" s="3" t="n">
        <v>37</v>
      </c>
      <c r="B39" s="4" t="n">
        <v>74202740.31999999</v>
      </c>
      <c r="C39" s="4" t="n">
        <v>518900.2819580419</v>
      </c>
      <c r="D39" s="5" t="n">
        <v>143</v>
      </c>
      <c r="E39" s="5" t="n">
        <v>38</v>
      </c>
    </row>
    <row r="40">
      <c r="A40" s="6" t="n">
        <v>38</v>
      </c>
      <c r="B40" s="7" t="n">
        <v>55159626.42</v>
      </c>
      <c r="C40" s="7" t="n">
        <v>385731.6532867133</v>
      </c>
      <c r="D40" s="8" t="n">
        <v>143</v>
      </c>
      <c r="E40" s="8" t="n">
        <v>41</v>
      </c>
    </row>
    <row r="41">
      <c r="A41" s="3" t="n">
        <v>39</v>
      </c>
      <c r="B41" s="4" t="n">
        <v>207445542.47</v>
      </c>
      <c r="C41" s="4" t="n">
        <v>1450668.129160839</v>
      </c>
      <c r="D41" s="5" t="n">
        <v>143</v>
      </c>
      <c r="E41" s="5" t="n">
        <v>10</v>
      </c>
    </row>
    <row r="42">
      <c r="A42" s="6" t="n">
        <v>40</v>
      </c>
      <c r="B42" s="7" t="n">
        <v>137870309.79</v>
      </c>
      <c r="C42" s="7" t="n">
        <v>964128.0404895104</v>
      </c>
      <c r="D42" s="8" t="n">
        <v>143</v>
      </c>
      <c r="E42" s="8" t="n">
        <v>24</v>
      </c>
    </row>
    <row r="43">
      <c r="A43" s="3" t="n">
        <v>41</v>
      </c>
      <c r="B43" s="4" t="n">
        <v>181341934.89</v>
      </c>
      <c r="C43" s="4" t="n">
        <v>1268125.418811189</v>
      </c>
      <c r="D43" s="5" t="n">
        <v>143</v>
      </c>
      <c r="E43" s="5" t="n">
        <v>17</v>
      </c>
    </row>
    <row r="44">
      <c r="A44" s="6" t="n">
        <v>42</v>
      </c>
      <c r="B44" s="7" t="n">
        <v>79565752.42999999</v>
      </c>
      <c r="C44" s="7" t="n">
        <v>556403.8631468531</v>
      </c>
      <c r="D44" s="8" t="n">
        <v>143</v>
      </c>
      <c r="E44" s="8" t="n">
        <v>34</v>
      </c>
    </row>
    <row r="45">
      <c r="A45" s="3" t="n">
        <v>43</v>
      </c>
      <c r="B45" s="4" t="n">
        <v>90565435.41</v>
      </c>
      <c r="C45" s="4" t="n">
        <v>633324.7231468532</v>
      </c>
      <c r="D45" s="5" t="n">
        <v>143</v>
      </c>
      <c r="E45" s="5" t="n">
        <v>31</v>
      </c>
    </row>
    <row r="46">
      <c r="A46" s="6" t="n">
        <v>44</v>
      </c>
      <c r="B46" s="7" t="n">
        <v>43293087.84</v>
      </c>
      <c r="C46" s="7" t="n">
        <v>302748.8660139861</v>
      </c>
      <c r="D46" s="8" t="n">
        <v>143</v>
      </c>
      <c r="E46" s="8" t="n">
        <v>44</v>
      </c>
    </row>
    <row r="47">
      <c r="A47" s="3" t="n">
        <v>45</v>
      </c>
      <c r="B47" s="4" t="n">
        <v>112395341.42</v>
      </c>
      <c r="C47" s="4" t="n">
        <v>785981.4085314686</v>
      </c>
      <c r="D47" s="5" t="n">
        <v>143</v>
      </c>
      <c r="E47" s="5" t="n">
        <v>28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2" customWidth="1" min="3" max="3"/>
  </cols>
  <sheetData>
    <row r="1" ht="28" customHeight="1">
      <c r="A1" s="1" t="inlineStr">
        <is>
          <t>VLOOKUP &amp; XLOOKUP — Store Performance Finder</t>
        </is>
      </c>
    </row>
    <row r="3" ht="24" customHeight="1">
      <c r="A3" s="9" t="inlineStr">
        <is>
          <t>Enter Store Number:</t>
        </is>
      </c>
      <c r="C3" s="10" t="n">
        <v>1</v>
      </c>
    </row>
    <row r="4" ht="8" customHeight="1"/>
    <row r="5" ht="24" customHeight="1">
      <c r="A5" s="11" t="inlineStr">
        <is>
          <t>Metric</t>
        </is>
      </c>
      <c r="B5" s="11" t="inlineStr">
        <is>
          <t>VLOOKUP Result</t>
        </is>
      </c>
      <c r="C5" s="11" t="inlineStr">
        <is>
          <t>Formula Used</t>
        </is>
      </c>
    </row>
    <row r="6">
      <c r="A6" s="12" t="inlineStr">
        <is>
          <t>Total Sales ($)</t>
        </is>
      </c>
      <c r="B6" s="13">
        <f>IFERROR(VLOOKUP(C3,'Store Directory'!A:E,2,FALSE),"Store not found")</f>
        <v/>
      </c>
      <c r="C6" s="14">
        <f>IFERROR(VLOOKUP(C3,'Store Directory'!A:E,2,FALSE),"Store not found")</f>
        <v/>
      </c>
    </row>
    <row r="7">
      <c r="A7" s="15" t="inlineStr">
        <is>
          <t>Avg Weekly Sales ($)</t>
        </is>
      </c>
      <c r="B7" s="13">
        <f>IFERROR(VLOOKUP(C3,'Store Directory'!A:E,3,FALSE),"Store not found")</f>
        <v/>
      </c>
      <c r="C7" s="16">
        <f>IFERROR(VLOOKUP(C3,'Store Directory'!A:E,3,FALSE),"Store not found")</f>
        <v/>
      </c>
    </row>
    <row r="8">
      <c r="A8" s="12" t="inlineStr">
        <is>
          <t>Total Weeks</t>
        </is>
      </c>
      <c r="B8" s="17">
        <f>IFERROR(VLOOKUP(C3,'Store Directory'!A:E,4,FALSE),"Store not found")</f>
        <v/>
      </c>
      <c r="C8" s="14">
        <f>IFERROR(VLOOKUP(C3,'Store Directory'!A:E,4,FALSE),"Store not found")</f>
        <v/>
      </c>
    </row>
    <row r="9">
      <c r="A9" s="15" t="inlineStr">
        <is>
          <t>Sales Rank</t>
        </is>
      </c>
      <c r="B9" s="17">
        <f>IFERROR(VLOOKUP(C3,'Store Directory'!A:E,5,FALSE),"Store not found")</f>
        <v/>
      </c>
      <c r="C9" s="16">
        <f>IFERROR(VLOOKUP(C3,'Store Directory'!A:E,5,FALSE),"Store not found")</f>
        <v/>
      </c>
    </row>
  </sheetData>
  <mergeCells count="2">
    <mergeCell ref="A3:B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</cols>
  <sheetData>
    <row r="1" ht="28" customHeight="1">
      <c r="A1" s="1" t="inlineStr">
        <is>
          <t>INDEX / MATCH — Advanced Store Lookup</t>
        </is>
      </c>
    </row>
    <row r="3" ht="24" customHeight="1">
      <c r="A3" s="9" t="inlineStr">
        <is>
          <t>Look up store with rank:</t>
        </is>
      </c>
      <c r="C3" s="10" t="n">
        <v>1</v>
      </c>
    </row>
    <row r="4" ht="8" customHeight="1"/>
    <row r="5" ht="24" customHeight="1">
      <c r="A5" s="11" t="inlineStr">
        <is>
          <t>Metric</t>
        </is>
      </c>
      <c r="B5" s="11" t="inlineStr">
        <is>
          <t>INDEX/MATCH Result</t>
        </is>
      </c>
      <c r="C5" s="11" t="inlineStr">
        <is>
          <t>Formula Used</t>
        </is>
      </c>
    </row>
    <row r="6">
      <c r="A6" s="12" t="inlineStr">
        <is>
          <t>Store ID (by rank)</t>
        </is>
      </c>
      <c r="B6" s="17">
        <f>IFERROR(INDEX('Store Directory'!A:A,MATCH(C3,'Store Directory'!E:E,0)),"Rank not found")</f>
        <v/>
      </c>
      <c r="C6" s="14">
        <f>IFERROR(INDEX('Store Directory'!A:A,MATCH(C3,'Store Directory'!E:E,0)),"Rank not found")</f>
        <v/>
      </c>
    </row>
    <row r="7">
      <c r="A7" s="15" t="inlineStr">
        <is>
          <t>Total Sales ($)</t>
        </is>
      </c>
      <c r="B7" s="13">
        <f>IFERROR(INDEX('Store Directory'!B:B,MATCH(C3,'Store Directory'!E:E,0)),"Rank not found")</f>
        <v/>
      </c>
      <c r="C7" s="16">
        <f>IFERROR(INDEX('Store Directory'!B:B,MATCH(C3,'Store Directory'!E:E,0)),"Rank not found")</f>
        <v/>
      </c>
    </row>
    <row r="8">
      <c r="A8" s="12" t="inlineStr">
        <is>
          <t>Avg Weekly Sales ($)</t>
        </is>
      </c>
      <c r="B8" s="13">
        <f>IFERROR(INDEX('Store Directory'!C:C,MATCH(C3,'Store Directory'!E:E,0)),"Rank not found")</f>
        <v/>
      </c>
      <c r="C8" s="14">
        <f>IFERROR(INDEX('Store Directory'!C:C,MATCH(C3,'Store Directory'!E:E,0)),"Rank not found")</f>
        <v/>
      </c>
    </row>
  </sheetData>
  <mergeCells count="2">
    <mergeCell ref="A3:B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70" customWidth="1" min="5" max="5"/>
  </cols>
  <sheetData>
    <row r="1" ht="28" customHeight="1">
      <c r="A1" s="1" t="inlineStr">
        <is>
          <t>SUMIFS — Conditional Sales Aggregation</t>
        </is>
      </c>
    </row>
    <row r="3" ht="24" customHeight="1">
      <c r="A3" s="11" t="inlineStr">
        <is>
          <t>Year</t>
        </is>
      </c>
      <c r="B3" s="11" t="inlineStr">
        <is>
          <t>Week Type</t>
        </is>
      </c>
      <c r="C3" s="11" t="inlineStr">
        <is>
          <t>Total Sales ($) [SUMIFS]</t>
        </is>
      </c>
      <c r="E3" s="11" t="inlineStr">
        <is>
          <t>Formula Pattern</t>
        </is>
      </c>
    </row>
    <row r="4">
      <c r="A4" s="6" t="n">
        <v>2010</v>
      </c>
      <c r="B4" s="8" t="inlineStr">
        <is>
          <t>Regular</t>
        </is>
      </c>
      <c r="C4" s="13" t="n">
        <v>2088661522.7</v>
      </c>
      <c r="E4" s="18">
        <f>SUMIFS(Sales_Range, Date_Range, "&gt;="&amp;Start_Date, Date_Range, "&lt;"&amp;End_Date, Holiday_Range, "Regular")</f>
        <v/>
      </c>
    </row>
    <row r="5">
      <c r="A5" s="3" t="n">
        <v>2010</v>
      </c>
      <c r="B5" s="5" t="inlineStr">
        <is>
          <t>Holiday</t>
        </is>
      </c>
      <c r="C5" s="13" t="n">
        <v>200224597.71</v>
      </c>
    </row>
    <row r="6">
      <c r="A6" s="6" t="n">
        <v>2011</v>
      </c>
      <c r="B6" s="8" t="inlineStr">
        <is>
          <t>Regular</t>
        </is>
      </c>
      <c r="C6" s="13" t="n">
        <v>2241464520.73</v>
      </c>
    </row>
    <row r="7">
      <c r="A7" s="3" t="n">
        <v>2011</v>
      </c>
      <c r="B7" s="5" t="inlineStr">
        <is>
          <t>Holiday</t>
        </is>
      </c>
      <c r="C7" s="13" t="n">
        <v>206735486.62</v>
      </c>
    </row>
    <row r="8">
      <c r="A8" s="6" t="n">
        <v>2012</v>
      </c>
      <c r="B8" s="8" t="inlineStr">
        <is>
          <t>Regular</t>
        </is>
      </c>
      <c r="C8" s="13" t="n">
        <v>1901793392.12</v>
      </c>
    </row>
    <row r="9">
      <c r="A9" s="3" t="n">
        <v>2012</v>
      </c>
      <c r="B9" s="5" t="inlineStr">
        <is>
          <t>Holiday</t>
        </is>
      </c>
      <c r="C9" s="13" t="n">
        <v>98339467.23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2026-03-16T07:23:54Z</dcterms:created>
  <dcterms:modified xmlns:dcterms="http://purl.org/dc/terms/" xmlns:xsi="http://www.w3.org/2001/XMLSchema-instance" xsi:type="dcterms:W3CDTF">2026-03-16T07:23:54Z</dcterms:modified>
</cp:coreProperties>
</file>